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asar Indonesia" sheetId="1" state="visible" r:id="rId3"/>
    <sheet name="Rekomendasi Harga Larinov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<sst xmlns="http://schemas.openxmlformats.org/spreadsheetml/2006/main" count="252" uniqueCount="228">
  <si>
    <t xml:space="preserve">LARINOVA — DATA PASAR: PASIEN &amp; PENDAPATAN FASILITAS KESEHATAN INDONESIA</t>
  </si>
  <si>
    <t xml:space="preserve">Sumber: Laporan Tahunan Siloam/Mitra Keluarga/Mayapada, Kemenkes SIRS, BPS, Estimasi Industri  |  Update: April 2026</t>
  </si>
  <si>
    <t xml:space="preserve">BAGIAN 1: RINGKASAN DATA PER SEGMEN FASILITAS KESEHATAN</t>
  </si>
  <si>
    <t xml:space="preserve">Segmen / Tipe Fasilitas</t>
  </si>
  <si>
    <t xml:space="preserve">Pasien/Hari</t>
  </si>
  <si>
    <t xml:space="preserve">Pasien/Bulan</t>
  </si>
  <si>
    <t xml:space="preserve">Pendapatan/Bulan (IDR)</t>
  </si>
  <si>
    <t xml:space="preserve">Pendapatan/Tahun (IDR)</t>
  </si>
  <si>
    <t xml:space="preserve">Jumlah Dokter</t>
  </si>
  <si>
    <t xml:space="preserve">Catatan / Sumber</t>
  </si>
  <si>
    <t xml:space="preserve">1A. Rumah Sakit Besar – Tipe A (Nasional/BUMN)</t>
  </si>
  <si>
    <t xml:space="preserve">500 – 2.000</t>
  </si>
  <si>
    <t xml:space="preserve">10.000 – 40.000</t>
  </si>
  <si>
    <t xml:space="preserve">15.000.000.000 – 50.000.000.000</t>
  </si>
  <si>
    <t xml:space="preserve">180.000.000.000 – 600.000.000.000</t>
  </si>
  <si>
    <t xml:space="preserve">100 – 400+</t>
  </si>
  <si>
    <t xml:space="preserve">Contoh: RSCM, Siloam Kebon Jeruk, RS Gatot Soebroto. Data Siloam: 4 juta pasien/tahun di 41 RS (avg ±97k/RS/thn). Sumber: Siloam AR 2023.</t>
  </si>
  <si>
    <t xml:space="preserve">1B. Rumah Sakit Besar – Swasta Premium</t>
  </si>
  <si>
    <t xml:space="preserve">300 – 1.000</t>
  </si>
  <si>
    <t xml:space="preserve">6.000 – 20.000</t>
  </si>
  <si>
    <t xml:space="preserve">8.000.000.000 – 25.000.000.000</t>
  </si>
  <si>
    <t xml:space="preserve">96.000.000.000 – 300.000.000.000</t>
  </si>
  <si>
    <t xml:space="preserve">50 – 200</t>
  </si>
  <si>
    <t xml:space="preserve">Contoh: Mayapada, RS Pondok Indah, RS Bunda. Mayapada total revenue IDR 3,2 T (2024) dibagi 7 RS. Sumber: Mayapada AR 2024.</t>
  </si>
  <si>
    <t xml:space="preserve">2A. Rumah Sakit Menengah – Tipe B/C</t>
  </si>
  <si>
    <t xml:space="preserve">200 – 500</t>
  </si>
  <si>
    <t xml:space="preserve">4.000 – 10.000</t>
  </si>
  <si>
    <t xml:space="preserve">2.000.000.000 – 8.000.000.000</t>
  </si>
  <si>
    <t xml:space="preserve">24.000.000.000 – 96.000.000.000</t>
  </si>
  <si>
    <t xml:space="preserve">30 – 100</t>
  </si>
  <si>
    <t xml:space="preserve">Contoh: RS Hermina (44 RS, avg 138 TT), RSI Jakarta, RS St. Carolus. Estimasi industri + Hermina network data.</t>
  </si>
  <si>
    <t xml:space="preserve">2B. Rumah Sakit Daerah / RSUD</t>
  </si>
  <si>
    <t xml:space="preserve">100 – 400</t>
  </si>
  <si>
    <t xml:space="preserve">2.000 – 8.000</t>
  </si>
  <si>
    <t xml:space="preserve">1.500.000.000 – 6.000.000.000</t>
  </si>
  <si>
    <t xml:space="preserve">18.000.000.000 – 72.000.000.000</t>
  </si>
  <si>
    <t xml:space="preserve">20 – 80</t>
  </si>
  <si>
    <t xml:space="preserve">Contoh: RSUD Dr. Soetomo Surabaya (terbesar Indonesia Timur), RSUD Bali Mandara. Data estimasi Kemenkes SIRS.</t>
  </si>
  <si>
    <t xml:space="preserve">3A. Klinik Utama (5–10 Dokter)</t>
  </si>
  <si>
    <t xml:space="preserve">50 – 150</t>
  </si>
  <si>
    <t xml:space="preserve">1.000 – 3.000</t>
  </si>
  <si>
    <t xml:space="preserve">200.000.000 – 600.000.000</t>
  </si>
  <si>
    <t xml:space="preserve">2.400.000.000 – 7.200.000.000</t>
  </si>
  <si>
    <t xml:space="preserve">5 – 10</t>
  </si>
  <si>
    <t xml:space="preserve">Contoh: Klinik Utama DR. Indrajana, FDC Dental Clinic (chain). Estimasi: avg tarif IDR 200k × 1.500 pasien/bln.</t>
  </si>
  <si>
    <t xml:space="preserve">3B. Klinik Pratama (2–4 Dokter)</t>
  </si>
  <si>
    <t xml:space="preserve">400 – 1.600</t>
  </si>
  <si>
    <t xml:space="preserve">60.000.000 – 200.000.000</t>
  </si>
  <si>
    <t xml:space="preserve">720.000.000 – 2.400.000.000</t>
  </si>
  <si>
    <t xml:space="preserve">2 – 4</t>
  </si>
  <si>
    <t xml:space="preserve">Data BPS: 7.078 klinik pratama terdaftar BPJS. Contoh Klinik Itenas: 384 pasien/bln. Tarif IDR 150–300k/kunjungan.</t>
  </si>
  <si>
    <t xml:space="preserve">4. Dokter Praktik Mandiri (Solo)</t>
  </si>
  <si>
    <t xml:space="preserve">5 – 20</t>
  </si>
  <si>
    <t xml:space="preserve">10.000.000 – 30.000.000</t>
  </si>
  <si>
    <t xml:space="preserve">120.000.000 – 360.000.000</t>
  </si>
  <si>
    <t xml:space="preserve">1</t>
  </si>
  <si>
    <t xml:space="preserve">Sumber: Dealls 2026, Medisy 2026. Tarif rata-rata IDR 300k. Banyak variasi tergantung lokasi &amp; reputasi.</t>
  </si>
  <si>
    <t xml:space="preserve">5. Klinik Gigi (Dental Clinic)</t>
  </si>
  <si>
    <t xml:space="preserve">10 – 30</t>
  </si>
  <si>
    <t xml:space="preserve">200 – 600</t>
  </si>
  <si>
    <t xml:space="preserve">30.000.000 – 100.000.000</t>
  </si>
  <si>
    <t xml:space="preserve">360.000.000 – 1.200.000.000</t>
  </si>
  <si>
    <t xml:space="preserve">1 – 3</t>
  </si>
  <si>
    <t xml:space="preserve">Sumber: Medeva 2025, bisnisklinikgigi.com. Klinik premium bisa IDR 100jt+/bln. Contoh: FDC Dental 60+ cabang.</t>
  </si>
  <si>
    <t xml:space="preserve">BAGIAN 2: ESTIMASI DATA SPESIFIK RUMAH SAKIT TERBESAR DARI DATA KITA</t>
  </si>
  <si>
    <t xml:space="preserve">Nama RS / Klinik</t>
  </si>
  <si>
    <t xml:space="preserve">Kota</t>
  </si>
  <si>
    <t xml:space="preserve">Tipe</t>
  </si>
  <si>
    <t xml:space="preserve">Est. Pasien/Hari</t>
  </si>
  <si>
    <t xml:space="preserve">Est. Pasien/Bulan</t>
  </si>
  <si>
    <t xml:space="preserve">Est. Pendapatan/Bulan (IDR)</t>
  </si>
  <si>
    <t xml:space="preserve">Dasar Estimasi</t>
  </si>
  <si>
    <t xml:space="preserve">RSUPN Dr. Cipto Mangunkusumo (RSCM)</t>
  </si>
  <si>
    <t xml:space="preserve">Jakarta</t>
  </si>
  <si>
    <t xml:space="preserve">RS Besar – BUMN</t>
  </si>
  <si>
    <t xml:space="preserve">1.000 – 2.000</t>
  </si>
  <si>
    <t xml:space="preserve">20.000 – 40.000</t>
  </si>
  <si>
    <t xml:space="preserve">20.000.000.000 – 40.000.000.000</t>
  </si>
  <si>
    <t xml:space="preserve">RS rujukan nasional, 1.000+ TT. Salah satu RS terbesar &amp; tersibuk Indonesia.</t>
  </si>
  <si>
    <t xml:space="preserve">Siloam Hospital Kebon Jeruk</t>
  </si>
  <si>
    <t xml:space="preserve">RS Besar – Swasta</t>
  </si>
  <si>
    <t xml:space="preserve">400 – 800</t>
  </si>
  <si>
    <t xml:space="preserve">8.000 – 16.000</t>
  </si>
  <si>
    <t xml:space="preserve">8.000.000.000 – 18.000.000.000</t>
  </si>
  <si>
    <t xml:space="preserve">Siloam group avg ±97k pasien rawat jalan/RS/tahun. Source: Siloam AR 2023.</t>
  </si>
  <si>
    <t xml:space="preserve">RS Bunda Jakarta</t>
  </si>
  <si>
    <t xml:space="preserve">300 – 600</t>
  </si>
  <si>
    <t xml:space="preserve">6.000 – 12.000</t>
  </si>
  <si>
    <t xml:space="preserve">5.000.000.000 – 12.000.000.000</t>
  </si>
  <si>
    <t xml:space="preserve">RS premium ibu &amp; anak. Estimasi berdasarkan kapasitas &amp; reputasi.</t>
  </si>
  <si>
    <t xml:space="preserve">RS Jakarta Medical Center (JMC)</t>
  </si>
  <si>
    <t xml:space="preserve">RS Menengah – Swasta</t>
  </si>
  <si>
    <t xml:space="preserve">150 – 300</t>
  </si>
  <si>
    <t xml:space="preserve">3.000 – 6.000</t>
  </si>
  <si>
    <t xml:space="preserve">2.000.000.000 – 5.000.000.000</t>
  </si>
  <si>
    <t xml:space="preserve">Estimasi RS swasta menengah Jakarta.</t>
  </si>
  <si>
    <t xml:space="preserve">RS St. Carolus</t>
  </si>
  <si>
    <t xml:space="preserve">200 – 400</t>
  </si>
  <si>
    <t xml:space="preserve">4.000 – 8.000</t>
  </si>
  <si>
    <t xml:space="preserve">2.500.000.000 – 6.000.000.000</t>
  </si>
  <si>
    <t xml:space="preserve">RS Katolik bersejarah, Jakarta Pusat. Estimasi industri.</t>
  </si>
  <si>
    <t xml:space="preserve">Mayapada Hospital Bandung</t>
  </si>
  <si>
    <t xml:space="preserve">Bandung</t>
  </si>
  <si>
    <t xml:space="preserve">3.000.000.000 – 8.000.000.000</t>
  </si>
  <si>
    <t xml:space="preserve">Mayapada group IDR 3,2T revenue (2024) / 7 RS. Sumber: Mayapada AR 2024.</t>
  </si>
  <si>
    <t xml:space="preserve">RS Hermina Arcamanik</t>
  </si>
  <si>
    <t xml:space="preserve">150 – 350</t>
  </si>
  <si>
    <t xml:space="preserve">3.000 – 7.000</t>
  </si>
  <si>
    <t xml:space="preserve">1.500.000.000 – 4.000.000.000</t>
  </si>
  <si>
    <t xml:space="preserve">Hermina network avg 138 TT/RS. Estimasi berdasarkan kapasitas.</t>
  </si>
  <si>
    <t xml:space="preserve">RSUD Dr. Soetomo</t>
  </si>
  <si>
    <t xml:space="preserve">Surabaya</t>
  </si>
  <si>
    <t xml:space="preserve">800 – 1.500</t>
  </si>
  <si>
    <t xml:space="preserve">16.000 – 30.000</t>
  </si>
  <si>
    <t xml:space="preserve">10.000.000.000 – 25.000.000.000</t>
  </si>
  <si>
    <t xml:space="preserve">RS terbesar Indonesia Timur, RS rujukan nasional kelas A.</t>
  </si>
  <si>
    <t xml:space="preserve">RS Siloam Surabaya</t>
  </si>
  <si>
    <t xml:space="preserve">300 – 700</t>
  </si>
  <si>
    <t xml:space="preserve">6.000 – 14.000</t>
  </si>
  <si>
    <t xml:space="preserve">6.000.000.000 – 14.000.000.000</t>
  </si>
  <si>
    <t xml:space="preserve">Siloam group benchmark. Source: Siloam AR 2023.</t>
  </si>
  <si>
    <t xml:space="preserve">RSUP H. Adam Malik</t>
  </si>
  <si>
    <t xml:space="preserve">Medan</t>
  </si>
  <si>
    <t xml:space="preserve">500 – 1.000</t>
  </si>
  <si>
    <t xml:space="preserve">10.000 – 20.000</t>
  </si>
  <si>
    <t xml:space="preserve">RS rujukan nasional wilayah Sumatera. Kelas A.</t>
  </si>
  <si>
    <t xml:space="preserve">RS Murni Teguh Memorial</t>
  </si>
  <si>
    <t xml:space="preserve">150 – 400</t>
  </si>
  <si>
    <t xml:space="preserve">3.000 – 8.000</t>
  </si>
  <si>
    <t xml:space="preserve">3.000.000.000 – 7.000.000.000</t>
  </si>
  <si>
    <t xml:space="preserve">RS swasta premium Medan. Estimasi industri.</t>
  </si>
  <si>
    <t xml:space="preserve">RSUP Prof. Dr. I.G.N.G. Ngoerah (Sanglah)</t>
  </si>
  <si>
    <t xml:space="preserve">Bali</t>
  </si>
  <si>
    <t xml:space="preserve">500 – 1.200</t>
  </si>
  <si>
    <t xml:space="preserve">10.000 – 24.000</t>
  </si>
  <si>
    <t xml:space="preserve">8.000.000.000 – 20.000.000.000</t>
  </si>
  <si>
    <t xml:space="preserve">RS rujukan nasional wilayah Bali &amp; Indonesia Timur.</t>
  </si>
  <si>
    <t xml:space="preserve">FDC Dental Clinic (60+ cabang)</t>
  </si>
  <si>
    <t xml:space="preserve">Klinik Gigi – Chain</t>
  </si>
  <si>
    <t xml:space="preserve">15 – 40/cab</t>
  </si>
  <si>
    <t xml:space="preserve">300 – 800/cab</t>
  </si>
  <si>
    <t xml:space="preserve">50.000.000 – 150.000.000/cab</t>
  </si>
  <si>
    <t xml:space="preserve">Klinik gigi terbesar Indonesia. Per-cabang estimate. Sumber: bisnisklinikgigi.com.</t>
  </si>
  <si>
    <t xml:space="preserve">Klinik Utama DR. Indrajana</t>
  </si>
  <si>
    <t xml:space="preserve">Klinik Utama</t>
  </si>
  <si>
    <t xml:space="preserve">50 – 120</t>
  </si>
  <si>
    <t xml:space="preserve">1.000 – 2.400</t>
  </si>
  <si>
    <t xml:space="preserve">150.000.000 – 400.000.000</t>
  </si>
  <si>
    <t xml:space="preserve">Klinik utama Jakarta Pusat. Estimasi berdasarkan kategori klinik utama.</t>
  </si>
  <si>
    <t xml:space="preserve">LARINOVA — REKOMENDASI STRATEGI HARGA UNTUK WEBSITE</t>
  </si>
  <si>
    <t xml:space="preserve">Berdasarkan data pasar fasilitas kesehatan Indonesia  |  Update: April 2026  |  Fase: Free Adoption → Paid Conversion</t>
  </si>
  <si>
    <t xml:space="preserve">BAGIAN 1: PRINSIP PENETAPAN HARGA — LARINOVA</t>
  </si>
  <si>
    <t xml:space="preserve">💡 Prinsip 1</t>
  </si>
  <si>
    <t xml:space="preserve">Harga = 1–3% dari pendapatan bulanan fasilitas → terasa terjangkau, bukan beban besar</t>
  </si>
  <si>
    <t xml:space="preserve">💡 Prinsip 2</t>
  </si>
  <si>
    <t xml:space="preserve">Per-dokter pricing lebih mudah diterima klinik kecil daripada flat fee besar</t>
  </si>
  <si>
    <t xml:space="preserve">💡 Prinsip 3</t>
  </si>
  <si>
    <t xml:space="preserve">RS Besar → negosiasi custom; Klinik &amp; Dokter Solo → harga listing di website</t>
  </si>
  <si>
    <t xml:space="preserve">💡 Prinsip 4</t>
  </si>
  <si>
    <t xml:space="preserve">Gratis 1 bulan dulu (fase sekarang) → setelah aktif, tawari paket berbayar</t>
  </si>
  <si>
    <t xml:space="preserve">💡 Prinsip 5</t>
  </si>
  <si>
    <t xml:space="preserve">Harga dalam IDR, bukan USD — dokter Indonesia lebih nyaman dengan IDR</t>
  </si>
  <si>
    <t xml:space="preserve">BAGIAN 2: TABEL REKOMENDASI HARGA PER SEGMEN (UNTUK WEBSITE)</t>
  </si>
  <si>
    <t xml:space="preserve">Segmen / Paket</t>
  </si>
  <si>
    <t xml:space="preserve">Harga/Bulan (IDR)</t>
  </si>
  <si>
    <t xml:space="preserve">Harga/Tahun (IDR)</t>
  </si>
  <si>
    <t xml:space="preserve">% dari Pendapatan</t>
  </si>
  <si>
    <t xml:space="preserve">Jumlah Dokter Termasuk</t>
  </si>
  <si>
    <t xml:space="preserve">Fitur Utama</t>
  </si>
  <si>
    <t xml:space="preserve">Strategi / Catatan</t>
  </si>
  <si>
    <t xml:space="preserve">🩺 STARTER — Dokter Praktik Mandiri</t>
  </si>
  <si>
    <t xml:space="preserve">149.000</t>
  </si>
  <si>
    <t xml:space="preserve">1.490.000</t>
  </si>
  <si>
    <t xml:space="preserve">0,5% – 1,5% pendapatan</t>
  </si>
  <si>
    <t xml:space="preserve">1 dokter</t>
  </si>
  <si>
    <t xml:space="preserve">AI Scribe, Rekam Medis, Jadwal Pasien, Dokumen Otomatis</t>
  </si>
  <si>
    <t xml:space="preserve">Target: 7.000+ dokter solo Indonesia. Harga sangat terjangkau vs. waktu yang dihemat. Retensi tinggi karena pain point kuat.</t>
  </si>
  <si>
    <t xml:space="preserve">🏥 BASIC — Klinik Kecil (2–4 Dokter)</t>
  </si>
  <si>
    <t xml:space="preserve">399.000</t>
  </si>
  <si>
    <t xml:space="preserve">3.990.000</t>
  </si>
  <si>
    <t xml:space="preserve">0,2% – 0,7% pendapatan</t>
  </si>
  <si>
    <t xml:space="preserve">Hingga 4 dokter</t>
  </si>
  <si>
    <t xml:space="preserve">Semua fitur Starter + Multi-Dokter, Manajemen Staff, Laporan Klinik</t>
  </si>
  <si>
    <t xml:space="preserve">Segment terbesar (7.000+ klinik pratama). Harga per-dokter efektif IDR 100k/dokter/bln. Sangat kompetitif.</t>
  </si>
  <si>
    <t xml:space="preserve">🏥 PRO — Klinik Menengah (5–10 Dokter)</t>
  </si>
  <si>
    <t xml:space="preserve">899.000</t>
  </si>
  <si>
    <t xml:space="preserve">8.990.000</t>
  </si>
  <si>
    <t xml:space="preserve">0,15% – 0,45% pendapatan</t>
  </si>
  <si>
    <t xml:space="preserve">Hingga 10 dokter</t>
  </si>
  <si>
    <t xml:space="preserve">Semua fitur Basic + Workflow Automation, Integrasi WhatsApp, Analitik Lanjutan</t>
  </si>
  <si>
    <t xml:space="preserve">Sweet spot harga-value. Klinik dengan 5-10 dokter bisa hemat 5–10 jam/hari dokumentasi. ROI jelas.</t>
  </si>
  <si>
    <t xml:space="preserve">🏨 BUSINESS — Klinik Utama / RS Kecil</t>
  </si>
  <si>
    <t xml:space="preserve">2.499.000</t>
  </si>
  <si>
    <t xml:space="preserve">24.990.000</t>
  </si>
  <si>
    <t xml:space="preserve">0,05% – 0,4% pendapatan</t>
  </si>
  <si>
    <t xml:space="preserve">Hingga 25 dokter</t>
  </si>
  <si>
    <t xml:space="preserve">Semua fitur Pro + Multi-Lokasi, BPJS Integration Support, Priority Support</t>
  </si>
  <si>
    <t xml:space="preserve">Target: klinik utama, RSIA kecil. Nilai sudah sangat tinggi vs. harga. Bisa jadi anchor price di website.</t>
  </si>
  <si>
    <t xml:space="preserve">🏛️ ENTERPRISE — RS Menengah &amp; Besar</t>
  </si>
  <si>
    <t xml:space="preserve">Custom / Hubungi Kami</t>
  </si>
  <si>
    <t xml:space="preserve">Custom</t>
  </si>
  <si>
    <t xml:space="preserve">&lt; 0,1% pendapatan</t>
  </si>
  <si>
    <t xml:space="preserve">Tidak terbatas</t>
  </si>
  <si>
    <t xml:space="preserve">Semua fitur + On-boarding khusus, SLA, Integrasi HIS/EMR, Dedicated Support</t>
  </si>
  <si>
    <t xml:space="preserve">TIDAK pasang harga di website. Proses negosiasi langsung. Target: Hermina, Siloam per-RS, RSUD besar.</t>
  </si>
  <si>
    <t xml:space="preserve">BAGIAN 3: SIMULASI ROI — BERAPA NILAI LARINOVA vs. HARGA YANG DITAWARKAN</t>
  </si>
  <si>
    <t xml:space="preserve">Segmen</t>
  </si>
  <si>
    <t xml:space="preserve">Menit Terhemat/Pasien</t>
  </si>
  <si>
    <t xml:space="preserve">Jam Terhemat/Hari</t>
  </si>
  <si>
    <t xml:space="preserve">Nilai Waktu (IDR/jam)</t>
  </si>
  <si>
    <t xml:space="preserve">Nilai Terhemat/Bulan (IDR)</t>
  </si>
  <si>
    <t xml:space="preserve">Harga Larinova/Bulan (IDR)</t>
  </si>
  <si>
    <t xml:space="preserve">Dokter Solo</t>
  </si>
  <si>
    <t xml:space="preserve">Klinik Kecil (3 dokter × 20 pasien)</t>
  </si>
  <si>
    <t xml:space="preserve">Klinik Menengah (7 dokter × 30 pasien)</t>
  </si>
  <si>
    <t xml:space="preserve">Klinik Utama (15 dokter × 40 pasien)</t>
  </si>
  <si>
    <t xml:space="preserve">📌 Asumsi: 15 menit/pasien dihemat (dokumentasi manual → AI Scribe), nilai waktu dokter IDR 150.000/jam, 26 hari kerja/bulan. Sel kuning = angka bisa diubah.</t>
  </si>
  <si>
    <t xml:space="preserve">BAGIAN 4: RINGKASAN — REKOMENDASI FINAL UNTUK WEBSITE LARINOVA</t>
  </si>
  <si>
    <t xml:space="preserve">✅ Tampilkan di website</t>
  </si>
  <si>
    <t xml:space="preserve">Starter IDR 149k | Basic IDR 399k | Pro IDR 899k | Business IDR 2,499k</t>
  </si>
  <si>
    <t xml:space="preserve">❌ Jangan tampilkan di website</t>
  </si>
  <si>
    <t xml:space="preserve">Enterprise → tulis 'Hubungi Kami' — RS besar negosiasi custom, harga publik bisa undercut posisi</t>
  </si>
  <si>
    <t xml:space="preserve">🎯 Target paling mudah (fase sekarang)</t>
  </si>
  <si>
    <t xml:space="preserve">Dokter solo &amp; klinik kecil — pain point paling besar, pengambil keputusan = dokter itu sendiri</t>
  </si>
  <si>
    <t xml:space="preserve">💰 Segmen revenue terbesar jangka panjang</t>
  </si>
  <si>
    <t xml:space="preserve">RS Menengah &amp; Klinik Utama — mau bayar lebih, volume cukup, proses adopsi 1–3 bulan</t>
  </si>
  <si>
    <t xml:space="preserve">📌 Harga launch diskon (opsional)</t>
  </si>
  <si>
    <t xml:space="preserve">Tambahkan 'Early Access Price' dengan coret harga asli — ciptakan urgensi tanpa tekanan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</si>
</sst>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2"/>
      <color rgb="FF1E7A3B"/>
      <name val="Arial"/>
      <family val="0"/>
      <charset val="1"/>
    </font>
    <font>
      <b val="true"/>
      <sz val="10"/>
      <color rgb="FF1E7A3B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E7A3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2F2F2"/>
        <bgColor rgb="FFFDE8E8"/>
      </patternFill>
    </fill>
    <fill>
      <patternFill patternType="solid">
        <fgColor rgb="FFD9E8F5"/>
        <bgColor rgb="FFD9F0E1"/>
      </patternFill>
    </fill>
    <fill>
      <patternFill patternType="solid">
        <fgColor rgb="FFFFFFFF"/>
        <bgColor rgb="FFF2F2F2"/>
      </patternFill>
    </fill>
    <fill>
      <patternFill patternType="solid">
        <fgColor rgb="FFE8842A"/>
        <bgColor rgb="FFFF6600"/>
      </patternFill>
    </fill>
    <fill>
      <patternFill patternType="solid">
        <fgColor rgb="FFFCE8D4"/>
        <bgColor rgb="FFFDE8E8"/>
      </patternFill>
    </fill>
    <fill>
      <patternFill patternType="solid">
        <fgColor rgb="FFD9F0E1"/>
        <bgColor rgb="FFD9E8F5"/>
      </patternFill>
    </fill>
    <fill>
      <patternFill patternType="solid">
        <fgColor rgb="FFFFF3CD"/>
        <bgColor rgb="FFFCE8D4"/>
      </patternFill>
    </fill>
    <fill>
      <patternFill patternType="solid">
        <fgColor rgb="FFFDE8E8"/>
        <bgColor rgb="FFFCE8D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B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D9E8F5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0E1"/>
      <rgbColor rgb="FFFCE8D4"/>
      <rgbColor rgb="FF99CCFF"/>
      <rgbColor rgb="FFFF99CC"/>
      <rgbColor rgb="FFCC99FF"/>
      <rgbColor rgb="FFFDE8E8"/>
      <rgbColor rgb="FF3366FF"/>
      <rgbColor rgb="FF33CCCC"/>
      <rgbColor rgb="FF99CC00"/>
      <rgbColor rgb="FFFFCC00"/>
      <rgbColor rgb="FFE8842A"/>
      <rgbColor rgb="FFFF6600"/>
      <rgbColor rgb="FF666699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7" min="6" style="1" width="32"/>
    <col collapsed="false" customWidth="true" hidden="false" outlineLevel="0" max="8" min="8" style="1" width="3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8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5" t="s">
        <v>2</v>
      </c>
      <c r="B4" s="5"/>
      <c r="C4" s="5"/>
      <c r="D4" s="5"/>
      <c r="E4" s="5"/>
      <c r="F4" s="5"/>
      <c r="G4" s="5"/>
      <c r="H4" s="5"/>
    </row>
    <row r="5" customFormat="false" ht="19.5" hidden="false" customHeight="true" outlineLevel="0" collapsed="false">
      <c r="A5" s="6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customFormat="false" ht="30" hidden="false" customHeight="true" outlineLevel="0" collapsed="false">
      <c r="A6" s="7"/>
      <c r="B6" s="8" t="s">
        <v>10</v>
      </c>
      <c r="C6" s="9" t="s">
        <v>11</v>
      </c>
      <c r="D6" s="9" t="s">
        <v>12</v>
      </c>
      <c r="E6" s="10" t="s">
        <v>13</v>
      </c>
      <c r="F6" s="10" t="s">
        <v>14</v>
      </c>
      <c r="G6" s="9" t="s">
        <v>15</v>
      </c>
      <c r="H6" s="11" t="s">
        <v>16</v>
      </c>
    </row>
    <row r="7" customFormat="false" ht="30" hidden="false" customHeight="true" outlineLevel="0" collapsed="false">
      <c r="A7" s="12"/>
      <c r="B7" s="13" t="s">
        <v>17</v>
      </c>
      <c r="C7" s="14" t="s">
        <v>18</v>
      </c>
      <c r="D7" s="14" t="s">
        <v>19</v>
      </c>
      <c r="E7" s="15" t="s">
        <v>20</v>
      </c>
      <c r="F7" s="15" t="s">
        <v>21</v>
      </c>
      <c r="G7" s="14" t="s">
        <v>22</v>
      </c>
      <c r="H7" s="16" t="s">
        <v>23</v>
      </c>
    </row>
    <row r="8" customFormat="false" ht="30" hidden="false" customHeight="true" outlineLevel="0" collapsed="false">
      <c r="A8" s="7"/>
      <c r="B8" s="8" t="s">
        <v>24</v>
      </c>
      <c r="C8" s="9" t="s">
        <v>25</v>
      </c>
      <c r="D8" s="9" t="s">
        <v>26</v>
      </c>
      <c r="E8" s="10" t="s">
        <v>27</v>
      </c>
      <c r="F8" s="10" t="s">
        <v>28</v>
      </c>
      <c r="G8" s="9" t="s">
        <v>29</v>
      </c>
      <c r="H8" s="11" t="s">
        <v>30</v>
      </c>
    </row>
    <row r="9" customFormat="false" ht="30" hidden="false" customHeight="true" outlineLevel="0" collapsed="false">
      <c r="A9" s="12"/>
      <c r="B9" s="13" t="s">
        <v>31</v>
      </c>
      <c r="C9" s="14" t="s">
        <v>32</v>
      </c>
      <c r="D9" s="14" t="s">
        <v>33</v>
      </c>
      <c r="E9" s="15" t="s">
        <v>34</v>
      </c>
      <c r="F9" s="15" t="s">
        <v>35</v>
      </c>
      <c r="G9" s="14" t="s">
        <v>36</v>
      </c>
      <c r="H9" s="16" t="s">
        <v>37</v>
      </c>
    </row>
    <row r="10" customFormat="false" ht="30" hidden="false" customHeight="true" outlineLevel="0" collapsed="false">
      <c r="A10" s="7"/>
      <c r="B10" s="8" t="s">
        <v>38</v>
      </c>
      <c r="C10" s="9" t="s">
        <v>39</v>
      </c>
      <c r="D10" s="9" t="s">
        <v>40</v>
      </c>
      <c r="E10" s="10" t="s">
        <v>41</v>
      </c>
      <c r="F10" s="10" t="s">
        <v>42</v>
      </c>
      <c r="G10" s="9" t="s">
        <v>43</v>
      </c>
      <c r="H10" s="11" t="s">
        <v>44</v>
      </c>
    </row>
    <row r="11" customFormat="false" ht="30" hidden="false" customHeight="true" outlineLevel="0" collapsed="false">
      <c r="A11" s="12"/>
      <c r="B11" s="13" t="s">
        <v>45</v>
      </c>
      <c r="C11" s="14" t="s">
        <v>36</v>
      </c>
      <c r="D11" s="14" t="s">
        <v>46</v>
      </c>
      <c r="E11" s="15" t="s">
        <v>47</v>
      </c>
      <c r="F11" s="15" t="s">
        <v>48</v>
      </c>
      <c r="G11" s="14" t="s">
        <v>49</v>
      </c>
      <c r="H11" s="16" t="s">
        <v>50</v>
      </c>
    </row>
    <row r="12" customFormat="false" ht="30" hidden="false" customHeight="true" outlineLevel="0" collapsed="false">
      <c r="A12" s="7"/>
      <c r="B12" s="8" t="s">
        <v>51</v>
      </c>
      <c r="C12" s="9" t="s">
        <v>52</v>
      </c>
      <c r="D12" s="9" t="s">
        <v>32</v>
      </c>
      <c r="E12" s="10" t="s">
        <v>53</v>
      </c>
      <c r="F12" s="10" t="s">
        <v>54</v>
      </c>
      <c r="G12" s="9" t="s">
        <v>55</v>
      </c>
      <c r="H12" s="11" t="s">
        <v>56</v>
      </c>
    </row>
    <row r="13" customFormat="false" ht="30" hidden="false" customHeight="true" outlineLevel="0" collapsed="false">
      <c r="A13" s="12"/>
      <c r="B13" s="13" t="s">
        <v>57</v>
      </c>
      <c r="C13" s="14" t="s">
        <v>58</v>
      </c>
      <c r="D13" s="14" t="s">
        <v>59</v>
      </c>
      <c r="E13" s="15" t="s">
        <v>60</v>
      </c>
      <c r="F13" s="15" t="s">
        <v>61</v>
      </c>
      <c r="G13" s="14" t="s">
        <v>62</v>
      </c>
      <c r="H13" s="16" t="s">
        <v>63</v>
      </c>
    </row>
    <row r="14" customFormat="false" ht="19.5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9.5" hidden="false" customHeight="true" outlineLevel="0" collapsed="false">
      <c r="A15" s="5" t="s">
        <v>64</v>
      </c>
      <c r="B15" s="5"/>
      <c r="C15" s="5"/>
      <c r="D15" s="5"/>
      <c r="E15" s="5"/>
      <c r="F15" s="5"/>
      <c r="G15" s="5"/>
      <c r="H15" s="5"/>
    </row>
    <row r="16" customFormat="false" ht="19.5" hidden="false" customHeight="true" outlineLevel="0" collapsed="false">
      <c r="A16" s="6"/>
      <c r="B16" s="6" t="s">
        <v>65</v>
      </c>
      <c r="C16" s="6" t="s">
        <v>66</v>
      </c>
      <c r="D16" s="6" t="s">
        <v>67</v>
      </c>
      <c r="E16" s="6" t="s">
        <v>68</v>
      </c>
      <c r="F16" s="6" t="s">
        <v>69</v>
      </c>
      <c r="G16" s="6" t="s">
        <v>70</v>
      </c>
      <c r="H16" s="6" t="s">
        <v>71</v>
      </c>
    </row>
    <row r="17" customFormat="false" ht="30" hidden="false" customHeight="true" outlineLevel="0" collapsed="false">
      <c r="A17" s="7"/>
      <c r="B17" s="8" t="s">
        <v>72</v>
      </c>
      <c r="C17" s="9" t="s">
        <v>73</v>
      </c>
      <c r="D17" s="17" t="s">
        <v>74</v>
      </c>
      <c r="E17" s="9" t="s">
        <v>75</v>
      </c>
      <c r="F17" s="9" t="s">
        <v>76</v>
      </c>
      <c r="G17" s="10" t="s">
        <v>77</v>
      </c>
      <c r="H17" s="11" t="s">
        <v>78</v>
      </c>
    </row>
    <row r="18" customFormat="false" ht="30" hidden="false" customHeight="true" outlineLevel="0" collapsed="false">
      <c r="A18" s="12"/>
      <c r="B18" s="13" t="s">
        <v>79</v>
      </c>
      <c r="C18" s="14" t="s">
        <v>73</v>
      </c>
      <c r="D18" s="18" t="s">
        <v>80</v>
      </c>
      <c r="E18" s="14" t="s">
        <v>81</v>
      </c>
      <c r="F18" s="14" t="s">
        <v>82</v>
      </c>
      <c r="G18" s="15" t="s">
        <v>83</v>
      </c>
      <c r="H18" s="16" t="s">
        <v>84</v>
      </c>
    </row>
    <row r="19" customFormat="false" ht="30" hidden="false" customHeight="true" outlineLevel="0" collapsed="false">
      <c r="A19" s="7"/>
      <c r="B19" s="8" t="s">
        <v>85</v>
      </c>
      <c r="C19" s="9" t="s">
        <v>73</v>
      </c>
      <c r="D19" s="17" t="s">
        <v>80</v>
      </c>
      <c r="E19" s="9" t="s">
        <v>86</v>
      </c>
      <c r="F19" s="9" t="s">
        <v>87</v>
      </c>
      <c r="G19" s="10" t="s">
        <v>88</v>
      </c>
      <c r="H19" s="11" t="s">
        <v>89</v>
      </c>
    </row>
    <row r="20" customFormat="false" ht="30" hidden="false" customHeight="true" outlineLevel="0" collapsed="false">
      <c r="A20" s="12"/>
      <c r="B20" s="13" t="s">
        <v>90</v>
      </c>
      <c r="C20" s="14" t="s">
        <v>73</v>
      </c>
      <c r="D20" s="18" t="s">
        <v>91</v>
      </c>
      <c r="E20" s="14" t="s">
        <v>92</v>
      </c>
      <c r="F20" s="14" t="s">
        <v>93</v>
      </c>
      <c r="G20" s="15" t="s">
        <v>94</v>
      </c>
      <c r="H20" s="16" t="s">
        <v>95</v>
      </c>
    </row>
    <row r="21" customFormat="false" ht="30" hidden="false" customHeight="true" outlineLevel="0" collapsed="false">
      <c r="A21" s="7"/>
      <c r="B21" s="8" t="s">
        <v>96</v>
      </c>
      <c r="C21" s="9" t="s">
        <v>73</v>
      </c>
      <c r="D21" s="17" t="s">
        <v>91</v>
      </c>
      <c r="E21" s="9" t="s">
        <v>97</v>
      </c>
      <c r="F21" s="9" t="s">
        <v>98</v>
      </c>
      <c r="G21" s="10" t="s">
        <v>99</v>
      </c>
      <c r="H21" s="11" t="s">
        <v>100</v>
      </c>
    </row>
    <row r="22" customFormat="false" ht="30" hidden="false" customHeight="true" outlineLevel="0" collapsed="false">
      <c r="A22" s="12"/>
      <c r="B22" s="13" t="s">
        <v>101</v>
      </c>
      <c r="C22" s="14" t="s">
        <v>102</v>
      </c>
      <c r="D22" s="18" t="s">
        <v>80</v>
      </c>
      <c r="E22" s="14" t="s">
        <v>25</v>
      </c>
      <c r="F22" s="14" t="s">
        <v>26</v>
      </c>
      <c r="G22" s="15" t="s">
        <v>103</v>
      </c>
      <c r="H22" s="16" t="s">
        <v>104</v>
      </c>
    </row>
    <row r="23" customFormat="false" ht="30" hidden="false" customHeight="true" outlineLevel="0" collapsed="false">
      <c r="A23" s="7"/>
      <c r="B23" s="8" t="s">
        <v>105</v>
      </c>
      <c r="C23" s="9" t="s">
        <v>102</v>
      </c>
      <c r="D23" s="17" t="s">
        <v>91</v>
      </c>
      <c r="E23" s="9" t="s">
        <v>106</v>
      </c>
      <c r="F23" s="9" t="s">
        <v>107</v>
      </c>
      <c r="G23" s="10" t="s">
        <v>108</v>
      </c>
      <c r="H23" s="11" t="s">
        <v>109</v>
      </c>
    </row>
    <row r="24" customFormat="false" ht="30" hidden="false" customHeight="true" outlineLevel="0" collapsed="false">
      <c r="A24" s="12"/>
      <c r="B24" s="13" t="s">
        <v>110</v>
      </c>
      <c r="C24" s="14" t="s">
        <v>111</v>
      </c>
      <c r="D24" s="18" t="s">
        <v>74</v>
      </c>
      <c r="E24" s="14" t="s">
        <v>112</v>
      </c>
      <c r="F24" s="14" t="s">
        <v>113</v>
      </c>
      <c r="G24" s="15" t="s">
        <v>114</v>
      </c>
      <c r="H24" s="16" t="s">
        <v>115</v>
      </c>
    </row>
    <row r="25" customFormat="false" ht="30" hidden="false" customHeight="true" outlineLevel="0" collapsed="false">
      <c r="A25" s="7"/>
      <c r="B25" s="8" t="s">
        <v>116</v>
      </c>
      <c r="C25" s="9" t="s">
        <v>111</v>
      </c>
      <c r="D25" s="17" t="s">
        <v>80</v>
      </c>
      <c r="E25" s="9" t="s">
        <v>117</v>
      </c>
      <c r="F25" s="9" t="s">
        <v>118</v>
      </c>
      <c r="G25" s="10" t="s">
        <v>119</v>
      </c>
      <c r="H25" s="11" t="s">
        <v>120</v>
      </c>
    </row>
    <row r="26" customFormat="false" ht="30" hidden="false" customHeight="true" outlineLevel="0" collapsed="false">
      <c r="A26" s="12"/>
      <c r="B26" s="13" t="s">
        <v>121</v>
      </c>
      <c r="C26" s="14" t="s">
        <v>122</v>
      </c>
      <c r="D26" s="18" t="s">
        <v>74</v>
      </c>
      <c r="E26" s="14" t="s">
        <v>123</v>
      </c>
      <c r="F26" s="14" t="s">
        <v>124</v>
      </c>
      <c r="G26" s="15" t="s">
        <v>83</v>
      </c>
      <c r="H26" s="16" t="s">
        <v>125</v>
      </c>
    </row>
    <row r="27" customFormat="false" ht="30" hidden="false" customHeight="true" outlineLevel="0" collapsed="false">
      <c r="A27" s="7"/>
      <c r="B27" s="8" t="s">
        <v>126</v>
      </c>
      <c r="C27" s="9" t="s">
        <v>122</v>
      </c>
      <c r="D27" s="17" t="s">
        <v>80</v>
      </c>
      <c r="E27" s="9" t="s">
        <v>127</v>
      </c>
      <c r="F27" s="9" t="s">
        <v>128</v>
      </c>
      <c r="G27" s="10" t="s">
        <v>129</v>
      </c>
      <c r="H27" s="11" t="s">
        <v>130</v>
      </c>
    </row>
    <row r="28" customFormat="false" ht="30" hidden="false" customHeight="true" outlineLevel="0" collapsed="false">
      <c r="A28" s="12"/>
      <c r="B28" s="13" t="s">
        <v>131</v>
      </c>
      <c r="C28" s="14" t="s">
        <v>132</v>
      </c>
      <c r="D28" s="18" t="s">
        <v>74</v>
      </c>
      <c r="E28" s="14" t="s">
        <v>133</v>
      </c>
      <c r="F28" s="14" t="s">
        <v>134</v>
      </c>
      <c r="G28" s="15" t="s">
        <v>135</v>
      </c>
      <c r="H28" s="16" t="s">
        <v>136</v>
      </c>
    </row>
    <row r="29" customFormat="false" ht="30" hidden="false" customHeight="true" outlineLevel="0" collapsed="false">
      <c r="A29" s="7"/>
      <c r="B29" s="8" t="s">
        <v>137</v>
      </c>
      <c r="C29" s="9" t="s">
        <v>73</v>
      </c>
      <c r="D29" s="17" t="s">
        <v>138</v>
      </c>
      <c r="E29" s="9" t="s">
        <v>139</v>
      </c>
      <c r="F29" s="9" t="s">
        <v>140</v>
      </c>
      <c r="G29" s="10" t="s">
        <v>141</v>
      </c>
      <c r="H29" s="11" t="s">
        <v>142</v>
      </c>
    </row>
    <row r="30" customFormat="false" ht="30" hidden="false" customHeight="true" outlineLevel="0" collapsed="false">
      <c r="A30" s="12"/>
      <c r="B30" s="13" t="s">
        <v>143</v>
      </c>
      <c r="C30" s="14" t="s">
        <v>73</v>
      </c>
      <c r="D30" s="18" t="s">
        <v>144</v>
      </c>
      <c r="E30" s="14" t="s">
        <v>145</v>
      </c>
      <c r="F30" s="14" t="s">
        <v>146</v>
      </c>
      <c r="G30" s="15" t="s">
        <v>147</v>
      </c>
      <c r="H30" s="16" t="s">
        <v>148</v>
      </c>
    </row>
    <row r="31" customFormat="false" ht="30" hidden="false" customHeight="true" outlineLevel="0" collapsed="false">
      <c r="G31" s="19"/>
    </row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</sheetData>
  <mergeCells count="4">
    <mergeCell ref="A1:H1"/>
    <mergeCell ref="A2:H2"/>
    <mergeCell ref="A4:H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7" min="3" style="1" width="22"/>
    <col collapsed="false" customWidth="true" hidden="false" outlineLevel="0" max="8" min="8" style="1" width="32"/>
  </cols>
  <sheetData>
    <row r="1" customFormat="false" ht="30" hidden="false" customHeight="true" outlineLevel="0" collapsed="false">
      <c r="A1" s="2" t="s">
        <v>149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150</v>
      </c>
      <c r="B2" s="3"/>
      <c r="C2" s="3"/>
      <c r="D2" s="3"/>
      <c r="E2" s="3"/>
      <c r="F2" s="3"/>
      <c r="G2" s="3"/>
      <c r="H2" s="3"/>
    </row>
    <row r="3" customFormat="false" ht="19.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5" t="s">
        <v>151</v>
      </c>
      <c r="B4" s="5"/>
      <c r="C4" s="5"/>
      <c r="D4" s="5"/>
      <c r="E4" s="5"/>
      <c r="F4" s="5"/>
      <c r="G4" s="5"/>
      <c r="H4" s="5"/>
    </row>
    <row r="5" customFormat="false" ht="19.5" hidden="false" customHeight="true" outlineLevel="0" collapsed="false">
      <c r="A5" s="20"/>
      <c r="B5" s="21" t="s">
        <v>152</v>
      </c>
      <c r="C5" s="21"/>
      <c r="D5" s="22" t="s">
        <v>153</v>
      </c>
      <c r="E5" s="22"/>
      <c r="F5" s="22"/>
      <c r="G5" s="22"/>
      <c r="H5" s="22"/>
    </row>
    <row r="6" customFormat="false" ht="19.5" hidden="false" customHeight="true" outlineLevel="0" collapsed="false">
      <c r="A6" s="20"/>
      <c r="B6" s="21" t="s">
        <v>154</v>
      </c>
      <c r="C6" s="21"/>
      <c r="D6" s="22" t="s">
        <v>155</v>
      </c>
      <c r="E6" s="22"/>
      <c r="F6" s="22"/>
      <c r="G6" s="22"/>
      <c r="H6" s="22"/>
    </row>
    <row r="7" customFormat="false" ht="19.5" hidden="false" customHeight="true" outlineLevel="0" collapsed="false">
      <c r="A7" s="20"/>
      <c r="B7" s="21" t="s">
        <v>156</v>
      </c>
      <c r="C7" s="21"/>
      <c r="D7" s="22" t="s">
        <v>157</v>
      </c>
      <c r="E7" s="22"/>
      <c r="F7" s="22"/>
      <c r="G7" s="22"/>
      <c r="H7" s="22"/>
    </row>
    <row r="8" customFormat="false" ht="19.5" hidden="false" customHeight="true" outlineLevel="0" collapsed="false">
      <c r="A8" s="20"/>
      <c r="B8" s="21" t="s">
        <v>158</v>
      </c>
      <c r="C8" s="21"/>
      <c r="D8" s="22" t="s">
        <v>159</v>
      </c>
      <c r="E8" s="22"/>
      <c r="F8" s="22"/>
      <c r="G8" s="22"/>
      <c r="H8" s="22"/>
    </row>
    <row r="9" customFormat="false" ht="19.5" hidden="false" customHeight="true" outlineLevel="0" collapsed="false">
      <c r="A9" s="20"/>
      <c r="B9" s="21" t="s">
        <v>160</v>
      </c>
      <c r="C9" s="21"/>
      <c r="D9" s="22" t="s">
        <v>161</v>
      </c>
      <c r="E9" s="22"/>
      <c r="F9" s="22"/>
      <c r="G9" s="22"/>
      <c r="H9" s="22"/>
    </row>
    <row r="10" customFormat="false" ht="19.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9.5" hidden="false" customHeight="true" outlineLevel="0" collapsed="false">
      <c r="A11" s="5" t="s">
        <v>162</v>
      </c>
      <c r="B11" s="5"/>
      <c r="C11" s="5"/>
      <c r="D11" s="5"/>
      <c r="E11" s="5"/>
      <c r="F11" s="5"/>
      <c r="G11" s="5"/>
      <c r="H11" s="5"/>
    </row>
    <row r="12" customFormat="false" ht="19.5" hidden="false" customHeight="true" outlineLevel="0" collapsed="false">
      <c r="A12" s="6"/>
      <c r="B12" s="6" t="s">
        <v>163</v>
      </c>
      <c r="C12" s="6" t="s">
        <v>164</v>
      </c>
      <c r="D12" s="6" t="s">
        <v>165</v>
      </c>
      <c r="E12" s="6" t="s">
        <v>166</v>
      </c>
      <c r="F12" s="6" t="s">
        <v>167</v>
      </c>
      <c r="G12" s="6" t="s">
        <v>168</v>
      </c>
      <c r="H12" s="6" t="s">
        <v>169</v>
      </c>
    </row>
    <row r="13" customFormat="false" ht="31.5" hidden="false" customHeight="true" outlineLevel="0" collapsed="false">
      <c r="A13" s="23"/>
      <c r="B13" s="24" t="s">
        <v>170</v>
      </c>
      <c r="C13" s="25" t="s">
        <v>171</v>
      </c>
      <c r="D13" s="26" t="s">
        <v>172</v>
      </c>
      <c r="E13" s="27" t="s">
        <v>173</v>
      </c>
      <c r="F13" s="28" t="s">
        <v>174</v>
      </c>
      <c r="G13" s="29" t="s">
        <v>175</v>
      </c>
      <c r="H13" s="29" t="s">
        <v>176</v>
      </c>
    </row>
    <row r="14" customFormat="false" ht="31.5" hidden="false" customHeight="true" outlineLevel="0" collapsed="false">
      <c r="A14" s="12"/>
      <c r="B14" s="13" t="s">
        <v>177</v>
      </c>
      <c r="C14" s="30" t="s">
        <v>178</v>
      </c>
      <c r="D14" s="31" t="s">
        <v>179</v>
      </c>
      <c r="E14" s="32" t="s">
        <v>180</v>
      </c>
      <c r="F14" s="14" t="s">
        <v>181</v>
      </c>
      <c r="G14" s="16" t="s">
        <v>182</v>
      </c>
      <c r="H14" s="16" t="s">
        <v>183</v>
      </c>
    </row>
    <row r="15" customFormat="false" ht="31.5" hidden="false" customHeight="true" outlineLevel="0" collapsed="false">
      <c r="A15" s="23"/>
      <c r="B15" s="24" t="s">
        <v>184</v>
      </c>
      <c r="C15" s="25" t="s">
        <v>185</v>
      </c>
      <c r="D15" s="26" t="s">
        <v>186</v>
      </c>
      <c r="E15" s="27" t="s">
        <v>187</v>
      </c>
      <c r="F15" s="28" t="s">
        <v>188</v>
      </c>
      <c r="G15" s="29" t="s">
        <v>189</v>
      </c>
      <c r="H15" s="29" t="s">
        <v>190</v>
      </c>
    </row>
    <row r="16" customFormat="false" ht="31.5" hidden="false" customHeight="true" outlineLevel="0" collapsed="false">
      <c r="A16" s="12"/>
      <c r="B16" s="13" t="s">
        <v>191</v>
      </c>
      <c r="C16" s="30" t="s">
        <v>192</v>
      </c>
      <c r="D16" s="31" t="s">
        <v>193</v>
      </c>
      <c r="E16" s="32" t="s">
        <v>194</v>
      </c>
      <c r="F16" s="14" t="s">
        <v>195</v>
      </c>
      <c r="G16" s="16" t="s">
        <v>196</v>
      </c>
      <c r="H16" s="16" t="s">
        <v>197</v>
      </c>
    </row>
    <row r="17" customFormat="false" ht="31.5" hidden="false" customHeight="true" outlineLevel="0" collapsed="false">
      <c r="A17" s="33"/>
      <c r="B17" s="34" t="s">
        <v>198</v>
      </c>
      <c r="C17" s="35" t="s">
        <v>199</v>
      </c>
      <c r="D17" s="36" t="s">
        <v>200</v>
      </c>
      <c r="E17" s="37" t="s">
        <v>201</v>
      </c>
      <c r="F17" s="38" t="s">
        <v>202</v>
      </c>
      <c r="G17" s="39" t="s">
        <v>203</v>
      </c>
      <c r="H17" s="39" t="s">
        <v>204</v>
      </c>
    </row>
    <row r="18" customFormat="false" ht="19.5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9.5" hidden="false" customHeight="true" outlineLevel="0" collapsed="false">
      <c r="A19" s="5" t="s">
        <v>205</v>
      </c>
      <c r="B19" s="5"/>
      <c r="C19" s="5"/>
      <c r="D19" s="5"/>
      <c r="E19" s="5"/>
      <c r="F19" s="5"/>
      <c r="G19" s="5"/>
      <c r="H19" s="5"/>
    </row>
    <row r="20" customFormat="false" ht="19.5" hidden="false" customHeight="true" outlineLevel="0" collapsed="false">
      <c r="A20" s="6"/>
      <c r="B20" s="6" t="s">
        <v>206</v>
      </c>
      <c r="C20" s="6" t="s">
        <v>4</v>
      </c>
      <c r="D20" s="6" t="s">
        <v>207</v>
      </c>
      <c r="E20" s="6" t="s">
        <v>208</v>
      </c>
      <c r="F20" s="6" t="s">
        <v>209</v>
      </c>
      <c r="G20" s="6" t="s">
        <v>210</v>
      </c>
      <c r="H20" s="6" t="s">
        <v>211</v>
      </c>
    </row>
    <row r="21" customFormat="false" ht="25.5" hidden="false" customHeight="true" outlineLevel="0" collapsed="false">
      <c r="A21" s="23"/>
      <c r="B21" s="40" t="s">
        <v>212</v>
      </c>
      <c r="C21" s="41" t="n">
        <v>10</v>
      </c>
      <c r="D21" s="41" t="n">
        <v>15</v>
      </c>
      <c r="E21" s="42" t="n">
        <f aca="false">C21*D21/60</f>
        <v>2.5</v>
      </c>
      <c r="F21" s="43" t="n">
        <v>150000</v>
      </c>
      <c r="G21" s="44" t="n">
        <f aca="false">E21*F21*26</f>
        <v>9750000</v>
      </c>
      <c r="H21" s="44" t="n">
        <v>149000</v>
      </c>
    </row>
    <row r="22" customFormat="false" ht="25.5" hidden="false" customHeight="true" outlineLevel="0" collapsed="false">
      <c r="A22" s="12"/>
      <c r="B22" s="45" t="s">
        <v>213</v>
      </c>
      <c r="C22" s="41" t="n">
        <v>60</v>
      </c>
      <c r="D22" s="41" t="n">
        <v>15</v>
      </c>
      <c r="E22" s="46" t="n">
        <f aca="false">C22*D22/60</f>
        <v>15</v>
      </c>
      <c r="F22" s="43" t="n">
        <v>150000</v>
      </c>
      <c r="G22" s="47" t="n">
        <f aca="false">E22*F22*26</f>
        <v>58500000</v>
      </c>
      <c r="H22" s="47" t="n">
        <v>399000</v>
      </c>
    </row>
    <row r="23" customFormat="false" ht="25.5" hidden="false" customHeight="true" outlineLevel="0" collapsed="false">
      <c r="A23" s="23"/>
      <c r="B23" s="40" t="s">
        <v>214</v>
      </c>
      <c r="C23" s="41" t="n">
        <v>210</v>
      </c>
      <c r="D23" s="41" t="n">
        <v>15</v>
      </c>
      <c r="E23" s="42" t="n">
        <f aca="false">C23*D23/60</f>
        <v>52.5</v>
      </c>
      <c r="F23" s="43" t="n">
        <v>150000</v>
      </c>
      <c r="G23" s="44" t="n">
        <f aca="false">E23*F23*26</f>
        <v>204750000</v>
      </c>
      <c r="H23" s="44" t="n">
        <v>899000</v>
      </c>
    </row>
    <row r="24" customFormat="false" ht="25.5" hidden="false" customHeight="true" outlineLevel="0" collapsed="false">
      <c r="A24" s="12"/>
      <c r="B24" s="45" t="s">
        <v>215</v>
      </c>
      <c r="C24" s="41" t="n">
        <v>600</v>
      </c>
      <c r="D24" s="41" t="n">
        <v>15</v>
      </c>
      <c r="E24" s="46" t="n">
        <f aca="false">C24*D24/60</f>
        <v>150</v>
      </c>
      <c r="F24" s="43" t="n">
        <v>150000</v>
      </c>
      <c r="G24" s="47" t="n">
        <f aca="false">E24*F24*26</f>
        <v>585000000</v>
      </c>
      <c r="H24" s="47" t="n">
        <v>2499000</v>
      </c>
    </row>
    <row r="25" customFormat="false" ht="18" hidden="false" customHeight="true" outlineLevel="0" collapsed="false">
      <c r="A25" s="48" t="s">
        <v>216</v>
      </c>
      <c r="B25" s="48"/>
      <c r="C25" s="48"/>
      <c r="D25" s="48"/>
      <c r="E25" s="48"/>
      <c r="F25" s="48"/>
      <c r="G25" s="48"/>
      <c r="H25" s="48"/>
    </row>
    <row r="26" customFormat="false" ht="19.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21.75" hidden="false" customHeight="true" outlineLevel="0" collapsed="false">
      <c r="A27" s="5" t="s">
        <v>217</v>
      </c>
      <c r="B27" s="5"/>
      <c r="C27" s="5"/>
      <c r="D27" s="5"/>
      <c r="E27" s="5"/>
      <c r="F27" s="5"/>
      <c r="G27" s="5"/>
      <c r="H27" s="5"/>
    </row>
    <row r="28" customFormat="false" ht="21.75" hidden="false" customHeight="true" outlineLevel="0" collapsed="false">
      <c r="A28" s="49" t="s">
        <v>218</v>
      </c>
      <c r="B28" s="49"/>
      <c r="C28" s="49"/>
      <c r="D28" s="50" t="s">
        <v>219</v>
      </c>
      <c r="E28" s="50"/>
      <c r="F28" s="50"/>
      <c r="G28" s="50"/>
      <c r="H28" s="50"/>
    </row>
    <row r="29" customFormat="false" ht="21.75" hidden="false" customHeight="true" outlineLevel="0" collapsed="false">
      <c r="A29" s="51" t="s">
        <v>220</v>
      </c>
      <c r="B29" s="51"/>
      <c r="C29" s="51"/>
      <c r="D29" s="52" t="s">
        <v>221</v>
      </c>
      <c r="E29" s="52"/>
      <c r="F29" s="52"/>
      <c r="G29" s="52"/>
      <c r="H29" s="52"/>
    </row>
    <row r="30" customFormat="false" ht="21.75" hidden="false" customHeight="true" outlineLevel="0" collapsed="false">
      <c r="A30" s="49" t="s">
        <v>222</v>
      </c>
      <c r="B30" s="49"/>
      <c r="C30" s="49"/>
      <c r="D30" s="50" t="s">
        <v>223</v>
      </c>
      <c r="E30" s="50"/>
      <c r="F30" s="50"/>
      <c r="G30" s="50"/>
      <c r="H30" s="50"/>
    </row>
    <row r="31" customFormat="false" ht="21.75" hidden="false" customHeight="true" outlineLevel="0" collapsed="false">
      <c r="A31" s="53" t="s">
        <v>224</v>
      </c>
      <c r="B31" s="53"/>
      <c r="C31" s="53"/>
      <c r="D31" s="54" t="s">
        <v>225</v>
      </c>
      <c r="E31" s="54"/>
      <c r="F31" s="54"/>
      <c r="G31" s="54"/>
      <c r="H31" s="54"/>
    </row>
    <row r="32" customFormat="false" ht="21.75" hidden="false" customHeight="true" outlineLevel="0" collapsed="false">
      <c r="A32" s="55" t="s">
        <v>226</v>
      </c>
      <c r="B32" s="55"/>
      <c r="C32" s="55"/>
      <c r="D32" s="56" t="s">
        <v>227</v>
      </c>
      <c r="E32" s="56"/>
      <c r="F32" s="56"/>
      <c r="G32" s="56"/>
      <c r="H32" s="56"/>
    </row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</sheetData>
  <mergeCells count="27">
    <mergeCell ref="A1:H1"/>
    <mergeCell ref="A2:H2"/>
    <mergeCell ref="A4:H4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A11:H11"/>
    <mergeCell ref="A19:H19"/>
    <mergeCell ref="A25:H25"/>
    <mergeCell ref="A27:H27"/>
    <mergeCell ref="A28:C28"/>
    <mergeCell ref="D28:H28"/>
    <mergeCell ref="A29:C29"/>
    <mergeCell ref="D29:H29"/>
    <mergeCell ref="A30:C30"/>
    <mergeCell ref="D30:H30"/>
    <mergeCell ref="A31:C31"/>
    <mergeCell ref="D31:H31"/>
    <mergeCell ref="A32:C32"/>
    <mergeCell ref="D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2026-04-12T04:01:01Z</dcterms:created>
  <dc:creator>openpyxl</dc:creator>
  <dc:description/>
  <dc:language>en-US</dc:language>
  <cp:lastModifiedBy/>
  <dcterms:modified xsi:type="dcterms:W3CDTF">2026-04-12T04:06:52Z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